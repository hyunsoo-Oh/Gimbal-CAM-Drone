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Gimbal-Drone\"/>
    </mc:Choice>
  </mc:AlternateContent>
  <xr:revisionPtr revIDLastSave="0" documentId="13_ncr:1_{28E6FEE3-BAC4-441B-9D64-442AE93E2B47}" xr6:coauthVersionLast="47" xr6:coauthVersionMax="47" xr10:uidLastSave="{00000000-0000-0000-0000-000000000000}"/>
  <bookViews>
    <workbookView xWindow="-110" yWindow="-110" windowWidth="25820" windowHeight="15500" xr2:uid="{1BB17840-856F-4883-AEC3-D8A86AFF3FA0}"/>
  </bookViews>
  <sheets>
    <sheet name="Pin map" sheetId="2" r:id="rId1"/>
    <sheet name="전력 소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L9" i="1"/>
  <c r="G20" i="1"/>
  <c r="G21" i="1"/>
  <c r="G22" i="1"/>
  <c r="G23" i="1"/>
  <c r="G24" i="1"/>
  <c r="G25" i="1"/>
  <c r="G27" i="1"/>
  <c r="G30" i="1"/>
  <c r="G31" i="1"/>
  <c r="G32" i="1"/>
  <c r="G33" i="1"/>
  <c r="G3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F21" i="1"/>
  <c r="F22" i="1"/>
  <c r="F23" i="1"/>
  <c r="F24" i="1"/>
  <c r="F25" i="1"/>
  <c r="F26" i="1"/>
  <c r="G26" i="1" s="1"/>
  <c r="F27" i="1"/>
  <c r="F28" i="1"/>
  <c r="G28" i="1" s="1"/>
  <c r="F29" i="1"/>
  <c r="G29" i="1" s="1"/>
  <c r="F30" i="1"/>
  <c r="F31" i="1"/>
  <c r="F32" i="1"/>
  <c r="F33" i="1"/>
  <c r="F34" i="1"/>
  <c r="F4" i="1"/>
  <c r="G4" i="1" s="1"/>
</calcChain>
</file>

<file path=xl/sharedStrings.xml><?xml version="1.0" encoding="utf-8"?>
<sst xmlns="http://schemas.openxmlformats.org/spreadsheetml/2006/main" count="275" uniqueCount="168">
  <si>
    <t>종류</t>
    <phoneticPr fontId="1" type="noConversion"/>
  </si>
  <si>
    <t>모델명</t>
    <phoneticPr fontId="1" type="noConversion"/>
  </si>
  <si>
    <t>수량</t>
    <phoneticPr fontId="1" type="noConversion"/>
  </si>
  <si>
    <t>용도</t>
    <phoneticPr fontId="1" type="noConversion"/>
  </si>
  <si>
    <t>소모전력</t>
    <phoneticPr fontId="1" type="noConversion"/>
  </si>
  <si>
    <t>IMU</t>
    <phoneticPr fontId="1" type="noConversion"/>
  </si>
  <si>
    <t>MCU</t>
    <phoneticPr fontId="1" type="noConversion"/>
  </si>
  <si>
    <t>STM32H743</t>
    <phoneticPr fontId="1" type="noConversion"/>
  </si>
  <si>
    <t>1EA</t>
    <phoneticPr fontId="1" type="noConversion"/>
  </si>
  <si>
    <t>공급전원 (V)</t>
    <phoneticPr fontId="1" type="noConversion"/>
  </si>
  <si>
    <t>소모전류 (mA)</t>
    <phoneticPr fontId="1" type="noConversion"/>
  </si>
  <si>
    <t>3.3V</t>
    <phoneticPr fontId="1" type="noConversion"/>
  </si>
  <si>
    <t>드론 메인 MCU</t>
    <phoneticPr fontId="1" type="noConversion"/>
  </si>
  <si>
    <t>ICM-42688-P</t>
    <phoneticPr fontId="1" type="noConversion"/>
  </si>
  <si>
    <t>BMI088</t>
    <phoneticPr fontId="1" type="noConversion"/>
  </si>
  <si>
    <t>자이로/가속도</t>
    <phoneticPr fontId="1" type="noConversion"/>
  </si>
  <si>
    <t>Baro</t>
    <phoneticPr fontId="1" type="noConversion"/>
  </si>
  <si>
    <t>Mag</t>
    <phoneticPr fontId="1" type="noConversion"/>
  </si>
  <si>
    <t>EEPROM</t>
    <phoneticPr fontId="1" type="noConversion"/>
  </si>
  <si>
    <t>24LC64</t>
    <phoneticPr fontId="1" type="noConversion"/>
  </si>
  <si>
    <t>설정 데이터 저장용</t>
    <phoneticPr fontId="1" type="noConversion"/>
  </si>
  <si>
    <t>단위 소모전력 (W)</t>
    <phoneticPr fontId="1" type="noConversion"/>
  </si>
  <si>
    <t>온도센서</t>
    <phoneticPr fontId="1" type="noConversion"/>
  </si>
  <si>
    <t>5V</t>
    <phoneticPr fontId="1" type="noConversion"/>
  </si>
  <si>
    <t>동작전압</t>
    <phoneticPr fontId="1" type="noConversion"/>
  </si>
  <si>
    <t>에러 로그 및 비행 데이터 저장용</t>
    <phoneticPr fontId="1" type="noConversion"/>
  </si>
  <si>
    <t>SHT31</t>
    <phoneticPr fontId="1" type="noConversion"/>
  </si>
  <si>
    <t>PCB 온도 습도 측정용</t>
    <phoneticPr fontId="1" type="noConversion"/>
  </si>
  <si>
    <t>GPS</t>
    <phoneticPr fontId="1" type="noConversion"/>
  </si>
  <si>
    <t>통신</t>
    <phoneticPr fontId="1" type="noConversion"/>
  </si>
  <si>
    <t>FS-iA6B</t>
    <phoneticPr fontId="1" type="noConversion"/>
  </si>
  <si>
    <t>CAN Transiver</t>
    <phoneticPr fontId="1" type="noConversion"/>
  </si>
  <si>
    <t>ESC와 통신 용도</t>
    <phoneticPr fontId="1" type="noConversion"/>
  </si>
  <si>
    <t>[부품 목록] 2026-04-24</t>
    <phoneticPr fontId="1" type="noConversion"/>
  </si>
  <si>
    <t>모듈</t>
    <phoneticPr fontId="1" type="noConversion"/>
  </si>
  <si>
    <t>신호</t>
    <phoneticPr fontId="1" type="noConversion"/>
  </si>
  <si>
    <t>DIR</t>
    <phoneticPr fontId="1" type="noConversion"/>
  </si>
  <si>
    <t>네트 이름</t>
    <phoneticPr fontId="1" type="noConversion"/>
  </si>
  <si>
    <t>Pin Number</t>
    <phoneticPr fontId="1" type="noConversion"/>
  </si>
  <si>
    <t>Port</t>
    <phoneticPr fontId="1" type="noConversion"/>
  </si>
  <si>
    <t>비고</t>
    <phoneticPr fontId="1" type="noConversion"/>
  </si>
  <si>
    <t>ICM-42688-P</t>
    <phoneticPr fontId="1" type="noConversion"/>
  </si>
  <si>
    <t>O</t>
    <phoneticPr fontId="1" type="noConversion"/>
  </si>
  <si>
    <t>I/O</t>
    <phoneticPr fontId="1" type="noConversion"/>
  </si>
  <si>
    <t>INT1</t>
    <phoneticPr fontId="1" type="noConversion"/>
  </si>
  <si>
    <t>INT2</t>
    <phoneticPr fontId="1" type="noConversion"/>
  </si>
  <si>
    <t>I</t>
    <phoneticPr fontId="1" type="noConversion"/>
  </si>
  <si>
    <t>INT</t>
    <phoneticPr fontId="1" type="noConversion"/>
  </si>
  <si>
    <t>Address</t>
    <phoneticPr fontId="1" type="noConversion"/>
  </si>
  <si>
    <t>I2C Serial Clock</t>
    <phoneticPr fontId="1" type="noConversion"/>
  </si>
  <si>
    <t>I2C Serial Data</t>
    <phoneticPr fontId="1" type="noConversion"/>
  </si>
  <si>
    <t>데이터가 레지스터에 준비 될 경우 알림, FIFO 관련 알림</t>
    <phoneticPr fontId="1" type="noConversion"/>
  </si>
  <si>
    <t>BMI088</t>
    <phoneticPr fontId="1" type="noConversion"/>
  </si>
  <si>
    <t>PS</t>
    <phoneticPr fontId="1" type="noConversion"/>
  </si>
  <si>
    <t>INT3</t>
    <phoneticPr fontId="1" type="noConversion"/>
  </si>
  <si>
    <t>INT4</t>
    <phoneticPr fontId="1" type="noConversion"/>
  </si>
  <si>
    <t xml:space="preserve">자이로계 인터럽트 핀
데이터가 레지스터에 준비 될 경우 알림, FIFO 관련 알림 </t>
    <phoneticPr fontId="1" type="noConversion"/>
  </si>
  <si>
    <t>가속도계 인터럽트 핀
데이터가 레지스터에 준비 될 경우 알림, FIFO 관련 알림</t>
    <phoneticPr fontId="1" type="noConversion"/>
  </si>
  <si>
    <t>GND</t>
    <phoneticPr fontId="1" type="noConversion"/>
  </si>
  <si>
    <t>IST8310</t>
    <phoneticPr fontId="1" type="noConversion"/>
  </si>
  <si>
    <t>PD13</t>
    <phoneticPr fontId="1" type="noConversion"/>
  </si>
  <si>
    <t>PD12</t>
    <phoneticPr fontId="1" type="noConversion"/>
  </si>
  <si>
    <t>DRDY</t>
    <phoneticPr fontId="1" type="noConversion"/>
  </si>
  <si>
    <t>새로운 측정 데이터가 준비되었을 경우 알림</t>
    <phoneticPr fontId="1" type="noConversion"/>
  </si>
  <si>
    <t>GPIO</t>
    <phoneticPr fontId="1" type="noConversion"/>
  </si>
  <si>
    <t>RSTN</t>
    <phoneticPr fontId="1" type="noConversion"/>
  </si>
  <si>
    <t>IC 칩을 리셋</t>
    <phoneticPr fontId="1" type="noConversion"/>
  </si>
  <si>
    <t>-</t>
    <phoneticPr fontId="1" type="noConversion"/>
  </si>
  <si>
    <t>CAD0</t>
    <phoneticPr fontId="1" type="noConversion"/>
  </si>
  <si>
    <t>CAD1</t>
    <phoneticPr fontId="1" type="noConversion"/>
  </si>
  <si>
    <t>00 : 0x0C / 01 : 0x0D / 10 : 0x0E / 11 : 0x0F</t>
    <phoneticPr fontId="1" type="noConversion"/>
  </si>
  <si>
    <t>BMP388</t>
    <phoneticPr fontId="1" type="noConversion"/>
  </si>
  <si>
    <t>IST8310</t>
    <phoneticPr fontId="1" type="noConversion"/>
  </si>
  <si>
    <t>BMP388</t>
    <phoneticPr fontId="1" type="noConversion"/>
  </si>
  <si>
    <t>NEO-M8N</t>
    <phoneticPr fontId="1" type="noConversion"/>
  </si>
  <si>
    <t>전류는 Peak 값 또는 최대값 기준 올림</t>
    <phoneticPr fontId="1" type="noConversion"/>
  </si>
  <si>
    <t>지자계</t>
    <phoneticPr fontId="1" type="noConversion"/>
  </si>
  <si>
    <t>고도계</t>
    <phoneticPr fontId="1" type="noConversion"/>
  </si>
  <si>
    <t>드론 위치 파악</t>
    <phoneticPr fontId="1" type="noConversion"/>
  </si>
  <si>
    <t>드론 조종 통신</t>
    <phoneticPr fontId="1" type="noConversion"/>
  </si>
  <si>
    <t>PC와 통신</t>
    <phoneticPr fontId="1" type="noConversion"/>
  </si>
  <si>
    <t>SPI Serial Data Output (MISO)</t>
    <phoneticPr fontId="1" type="noConversion"/>
  </si>
  <si>
    <t>SPI Serial Data Input (MOSI)</t>
    <phoneticPr fontId="1" type="noConversion"/>
  </si>
  <si>
    <t>칩 선택 핀</t>
    <phoneticPr fontId="1" type="noConversion"/>
  </si>
  <si>
    <t>Serial Clock</t>
    <phoneticPr fontId="1" type="noConversion"/>
  </si>
  <si>
    <t>SPI1</t>
    <phoneticPr fontId="1" type="noConversion"/>
  </si>
  <si>
    <t>SPI1_MOSI</t>
    <phoneticPr fontId="1" type="noConversion"/>
  </si>
  <si>
    <t>nCS</t>
    <phoneticPr fontId="1" type="noConversion"/>
  </si>
  <si>
    <t>SPI1_MISO</t>
    <phoneticPr fontId="1" type="noConversion"/>
  </si>
  <si>
    <t>SPI1_SCK</t>
    <phoneticPr fontId="1" type="noConversion"/>
  </si>
  <si>
    <t>PA5</t>
    <phoneticPr fontId="1" type="noConversion"/>
  </si>
  <si>
    <t>PA6</t>
    <phoneticPr fontId="1" type="noConversion"/>
  </si>
  <si>
    <t>PA7</t>
    <phoneticPr fontId="1" type="noConversion"/>
  </si>
  <si>
    <t>SHT31</t>
    <phoneticPr fontId="1" type="noConversion"/>
  </si>
  <si>
    <t>UART 디버그</t>
    <phoneticPr fontId="1" type="noConversion"/>
  </si>
  <si>
    <t>UART</t>
    <phoneticPr fontId="1" type="noConversion"/>
  </si>
  <si>
    <t>GPS M8N</t>
    <phoneticPr fontId="1" type="noConversion"/>
  </si>
  <si>
    <t>WP</t>
    <phoneticPr fontId="1" type="noConversion"/>
  </si>
  <si>
    <t>SCL</t>
    <phoneticPr fontId="1" type="noConversion"/>
  </si>
  <si>
    <t>SDA</t>
    <phoneticPr fontId="1" type="noConversion"/>
  </si>
  <si>
    <t>A0</t>
    <phoneticPr fontId="1" type="noConversion"/>
  </si>
  <si>
    <t>A1</t>
    <phoneticPr fontId="1" type="noConversion"/>
  </si>
  <si>
    <t>A2</t>
    <phoneticPr fontId="1" type="noConversion"/>
  </si>
  <si>
    <t>EXIT</t>
    <phoneticPr fontId="1" type="noConversion"/>
  </si>
  <si>
    <t>UART_RX</t>
    <phoneticPr fontId="1" type="noConversion"/>
  </si>
  <si>
    <t>UART_TX</t>
    <phoneticPr fontId="1" type="noConversion"/>
  </si>
  <si>
    <t>R/W - High : 읽기/Low : 쓰기</t>
    <phoneticPr fontId="1" type="noConversion"/>
  </si>
  <si>
    <t>1010(A2)(A1)(A0)R/W
1010000 = 0x30</t>
    <phoneticPr fontId="1" type="noConversion"/>
  </si>
  <si>
    <t>nRESET</t>
    <phoneticPr fontId="1" type="noConversion"/>
  </si>
  <si>
    <t>ALERT</t>
    <phoneticPr fontId="1" type="noConversion"/>
  </si>
  <si>
    <t>센서를 Reset</t>
    <phoneticPr fontId="1" type="noConversion"/>
  </si>
  <si>
    <t>ADDR</t>
    <phoneticPr fontId="1" type="noConversion"/>
  </si>
  <si>
    <t>I2C 주소 설정 핀 (Low : 0x44/High : 0x45)</t>
    <phoneticPr fontId="1" type="noConversion"/>
  </si>
  <si>
    <t>설정된 온도/습도를 초과하면 High 출력</t>
    <phoneticPr fontId="1" type="noConversion"/>
  </si>
  <si>
    <t>SPI3</t>
    <phoneticPr fontId="1" type="noConversion"/>
  </si>
  <si>
    <t>SPI4</t>
    <phoneticPr fontId="1" type="noConversion"/>
  </si>
  <si>
    <t>SCK</t>
    <phoneticPr fontId="1" type="noConversion"/>
  </si>
  <si>
    <t>SPI Serial Clock</t>
    <phoneticPr fontId="1" type="noConversion"/>
  </si>
  <si>
    <t>SPI4_MISO</t>
    <phoneticPr fontId="1" type="noConversion"/>
  </si>
  <si>
    <t>SPI4_SCK</t>
    <phoneticPr fontId="1" type="noConversion"/>
  </si>
  <si>
    <t>SPI4_MOSI</t>
    <phoneticPr fontId="1" type="noConversion"/>
  </si>
  <si>
    <t>PE12</t>
    <phoneticPr fontId="1" type="noConversion"/>
  </si>
  <si>
    <t>PE13</t>
    <phoneticPr fontId="1" type="noConversion"/>
  </si>
  <si>
    <t>PE14</t>
    <phoneticPr fontId="1" type="noConversion"/>
  </si>
  <si>
    <t>SPI 마스터 입력 신호 핀</t>
    <phoneticPr fontId="1" type="noConversion"/>
  </si>
  <si>
    <t>SPI 마스터 출력 신호 핀</t>
    <phoneticPr fontId="1" type="noConversion"/>
  </si>
  <si>
    <t>SPI4_nCS</t>
    <phoneticPr fontId="1" type="noConversion"/>
  </si>
  <si>
    <t>SPI 슬레이브 통신 활성화 핀</t>
    <phoneticPr fontId="1" type="noConversion"/>
  </si>
  <si>
    <t>PB3</t>
    <phoneticPr fontId="1" type="noConversion"/>
  </si>
  <si>
    <t>PB4</t>
    <phoneticPr fontId="1" type="noConversion"/>
  </si>
  <si>
    <t>PB5</t>
    <phoneticPr fontId="1" type="noConversion"/>
  </si>
  <si>
    <t>SPI3_SCK</t>
    <phoneticPr fontId="1" type="noConversion"/>
  </si>
  <si>
    <t>SPI3_MISO</t>
    <phoneticPr fontId="1" type="noConversion"/>
  </si>
  <si>
    <t>SPI3_MOSI</t>
    <phoneticPr fontId="1" type="noConversion"/>
  </si>
  <si>
    <t>IC 핀 이름</t>
    <phoneticPr fontId="1" type="noConversion"/>
  </si>
  <si>
    <t>AP_SDO</t>
    <phoneticPr fontId="1" type="noConversion"/>
  </si>
  <si>
    <t>AP_CS</t>
    <phoneticPr fontId="1" type="noConversion"/>
  </si>
  <si>
    <t>AP_SCLK</t>
    <phoneticPr fontId="1" type="noConversion"/>
  </si>
  <si>
    <t>AP_SDI</t>
    <phoneticPr fontId="1" type="noConversion"/>
  </si>
  <si>
    <t>SDO</t>
    <phoneticPr fontId="1" type="noConversion"/>
  </si>
  <si>
    <t>SDI</t>
    <phoneticPr fontId="1" type="noConversion"/>
  </si>
  <si>
    <t>SPI3_G_nCS</t>
    <phoneticPr fontId="1" type="noConversion"/>
  </si>
  <si>
    <t>SPI3_A_nCS</t>
    <phoneticPr fontId="1" type="noConversion"/>
  </si>
  <si>
    <t>SPI 가속도계 통신 활성화 핀</t>
    <phoneticPr fontId="1" type="noConversion"/>
  </si>
  <si>
    <t>SPI 자이로계 통신 활성화 핀</t>
    <phoneticPr fontId="1" type="noConversion"/>
  </si>
  <si>
    <t>CSB1</t>
    <phoneticPr fontId="1" type="noConversion"/>
  </si>
  <si>
    <t>CSB2</t>
    <phoneticPr fontId="1" type="noConversion"/>
  </si>
  <si>
    <t>SPI 모드 선택</t>
    <phoneticPr fontId="1" type="noConversion"/>
  </si>
  <si>
    <t>RSTN</t>
  </si>
  <si>
    <t>CAD0</t>
  </si>
  <si>
    <t>CAD1</t>
  </si>
  <si>
    <t>UART8</t>
    <phoneticPr fontId="1" type="noConversion"/>
  </si>
  <si>
    <t>UART8_RX</t>
    <phoneticPr fontId="1" type="noConversion"/>
  </si>
  <si>
    <t>UART8_TX</t>
    <phoneticPr fontId="1" type="noConversion"/>
  </si>
  <si>
    <t>DEBUG_IN</t>
    <phoneticPr fontId="1" type="noConversion"/>
  </si>
  <si>
    <t>PA4</t>
    <phoneticPr fontId="1" type="noConversion"/>
  </si>
  <si>
    <t>PA3</t>
    <phoneticPr fontId="1" type="noConversion"/>
  </si>
  <si>
    <t>CSB</t>
    <phoneticPr fontId="1" type="noConversion"/>
  </si>
  <si>
    <t>I2C4</t>
    <phoneticPr fontId="1" type="noConversion"/>
  </si>
  <si>
    <t>I2C4_SCL</t>
    <phoneticPr fontId="1" type="noConversion"/>
  </si>
  <si>
    <t>I2C4_SDA</t>
    <phoneticPr fontId="1" type="noConversion"/>
  </si>
  <si>
    <t>I2C3</t>
    <phoneticPr fontId="1" type="noConversion"/>
  </si>
  <si>
    <t>I2C3_SCK</t>
    <phoneticPr fontId="1" type="noConversion"/>
  </si>
  <si>
    <t>I2C3_SDA</t>
    <phoneticPr fontId="1" type="noConversion"/>
  </si>
  <si>
    <t>PA8</t>
    <phoneticPr fontId="1" type="noConversion"/>
  </si>
  <si>
    <t>PC9</t>
    <phoneticPr fontId="1" type="noConversion"/>
  </si>
  <si>
    <t>PE0</t>
    <phoneticPr fontId="1" type="noConversion"/>
  </si>
  <si>
    <t>PE1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</si>
</sst>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\V"/>
    <numFmt numFmtId="177" formatCode="0&quot;mA&quot;"/>
    <numFmt numFmtId="178" formatCode="0.00\W"/>
    <numFmt numFmtId="179" formatCode="0&quot;EA&quot;"/>
    <numFmt numFmtId="180" formatCode="0.00&quot;W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A0A0A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>
      <alignment vertical="center"/>
    </xf>
    <xf numFmtId="177" fontId="0" fillId="4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>
      <alignment vertical="center"/>
    </xf>
    <xf numFmtId="178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>
      <alignment vertical="center"/>
    </xf>
    <xf numFmtId="180" fontId="0" fillId="4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177" fontId="0" fillId="0" borderId="0" xfId="0" applyNumberFormat="1">
      <alignment vertical="center"/>
    </xf>
    <xf numFmtId="0" fontId="0" fillId="5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41</xdr:row>
      <xdr:rowOff>0</xdr:rowOff>
    </xdr:from>
    <xdr:to>
      <xdr:col>26</xdr:col>
      <xdr:colOff>83207</xdr:colOff>
      <xdr:row>57</xdr:row>
      <xdr:rowOff>165605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CF67AA-565C-6214-97C4-01B138809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92200" y="8864600"/>
          <a:ext cx="4706007" cy="362000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</xdr:row>
      <xdr:rowOff>0</xdr:rowOff>
    </xdr:from>
    <xdr:to>
      <xdr:col>32</xdr:col>
      <xdr:colOff>398129</xdr:colOff>
      <xdr:row>78</xdr:row>
      <xdr:rowOff>45059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F291B3B-E8F9-EDF6-637F-1D7E6AEBF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2200" y="12534900"/>
          <a:ext cx="8983329" cy="436305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</xdr:row>
      <xdr:rowOff>0</xdr:rowOff>
    </xdr:from>
    <xdr:to>
      <xdr:col>28</xdr:col>
      <xdr:colOff>229461</xdr:colOff>
      <xdr:row>90</xdr:row>
      <xdr:rowOff>162309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2DB0DD7-ADB8-CDA9-F5FB-6AB493264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92200" y="16852900"/>
          <a:ext cx="6173061" cy="2753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5377-E618-4100-B705-F7C17A92798B}">
  <dimension ref="A1:N49"/>
  <sheetViews>
    <sheetView tabSelected="1" topLeftCell="A25" workbookViewId="0">
      <selection activeCell="A49" sqref="A49"/>
    </sheetView>
  </sheetViews>
  <sheetFormatPr defaultRowHeight="17" x14ac:dyDescent="0.45"/>
  <cols>
    <col min="1" max="1" width="18.5" customWidth="1"/>
    <col min="2" max="2" width="10.1640625" customWidth="1"/>
    <col min="4" max="4" width="11" customWidth="1"/>
    <col min="5" max="5" width="11.33203125" bestFit="1" customWidth="1"/>
  </cols>
  <sheetData>
    <row r="1" spans="1:14" x14ac:dyDescent="0.45">
      <c r="A1" s="34" t="s">
        <v>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4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x14ac:dyDescent="0.45">
      <c r="A3" s="15" t="s">
        <v>34</v>
      </c>
      <c r="B3" s="15" t="s">
        <v>35</v>
      </c>
      <c r="C3" s="15" t="s">
        <v>36</v>
      </c>
      <c r="D3" s="15" t="s">
        <v>37</v>
      </c>
      <c r="E3" s="15" t="s">
        <v>38</v>
      </c>
      <c r="F3" s="15" t="s">
        <v>39</v>
      </c>
      <c r="G3" s="35" t="s">
        <v>40</v>
      </c>
      <c r="H3" s="35"/>
      <c r="I3" s="35"/>
      <c r="J3" s="35"/>
      <c r="K3" s="35"/>
      <c r="L3" s="35"/>
      <c r="M3" s="35" t="s">
        <v>134</v>
      </c>
      <c r="N3" s="35"/>
    </row>
    <row r="4" spans="1:14" x14ac:dyDescent="0.45">
      <c r="A4" s="31" t="s">
        <v>41</v>
      </c>
      <c r="B4" s="31" t="s">
        <v>115</v>
      </c>
      <c r="C4" s="3" t="s">
        <v>42</v>
      </c>
      <c r="D4" s="3" t="s">
        <v>119</v>
      </c>
      <c r="E4" s="3"/>
      <c r="F4" s="3" t="s">
        <v>121</v>
      </c>
      <c r="G4" s="19" t="s">
        <v>117</v>
      </c>
      <c r="H4" s="20"/>
      <c r="I4" s="20"/>
      <c r="J4" s="20"/>
      <c r="K4" s="20"/>
      <c r="L4" s="21"/>
      <c r="M4" s="49" t="s">
        <v>137</v>
      </c>
      <c r="N4" s="50"/>
    </row>
    <row r="5" spans="1:14" x14ac:dyDescent="0.45">
      <c r="A5" s="32"/>
      <c r="B5" s="32"/>
      <c r="C5" s="3" t="s">
        <v>46</v>
      </c>
      <c r="D5" s="3" t="s">
        <v>118</v>
      </c>
      <c r="E5" s="3"/>
      <c r="F5" s="3" t="s">
        <v>122</v>
      </c>
      <c r="G5" s="16" t="s">
        <v>124</v>
      </c>
      <c r="H5" s="17"/>
      <c r="I5" s="17"/>
      <c r="J5" s="17"/>
      <c r="K5" s="17"/>
      <c r="L5" s="18"/>
      <c r="M5" s="49" t="s">
        <v>135</v>
      </c>
      <c r="N5" s="50"/>
    </row>
    <row r="6" spans="1:14" x14ac:dyDescent="0.45">
      <c r="A6" s="32"/>
      <c r="B6" s="32"/>
      <c r="C6" s="3" t="s">
        <v>42</v>
      </c>
      <c r="D6" s="3" t="s">
        <v>120</v>
      </c>
      <c r="E6" s="3"/>
      <c r="F6" s="3" t="s">
        <v>123</v>
      </c>
      <c r="G6" s="19" t="s">
        <v>125</v>
      </c>
      <c r="H6" s="20"/>
      <c r="I6" s="20"/>
      <c r="J6" s="20"/>
      <c r="K6" s="20"/>
      <c r="L6" s="21"/>
      <c r="M6" s="49" t="s">
        <v>138</v>
      </c>
      <c r="N6" s="50"/>
    </row>
    <row r="7" spans="1:14" x14ac:dyDescent="0.45">
      <c r="A7" s="32"/>
      <c r="B7" s="33"/>
      <c r="C7" s="3" t="s">
        <v>42</v>
      </c>
      <c r="D7" s="3" t="s">
        <v>126</v>
      </c>
      <c r="E7" s="3"/>
      <c r="F7" s="3"/>
      <c r="G7" s="19" t="s">
        <v>127</v>
      </c>
      <c r="H7" s="20"/>
      <c r="I7" s="20"/>
      <c r="J7" s="20"/>
      <c r="K7" s="20"/>
      <c r="L7" s="21"/>
      <c r="M7" s="49" t="s">
        <v>136</v>
      </c>
      <c r="N7" s="50"/>
    </row>
    <row r="8" spans="1:14" x14ac:dyDescent="0.45">
      <c r="A8" s="32"/>
      <c r="B8" s="3" t="s">
        <v>47</v>
      </c>
      <c r="C8" s="3" t="s">
        <v>46</v>
      </c>
      <c r="D8" s="3" t="s">
        <v>44</v>
      </c>
      <c r="E8" s="3"/>
      <c r="F8" s="3"/>
      <c r="G8" s="19" t="s">
        <v>51</v>
      </c>
      <c r="H8" s="20"/>
      <c r="I8" s="20"/>
      <c r="J8" s="20"/>
      <c r="K8" s="20"/>
      <c r="L8" s="21"/>
      <c r="M8" s="49" t="s">
        <v>44</v>
      </c>
      <c r="N8" s="50"/>
    </row>
    <row r="9" spans="1:14" x14ac:dyDescent="0.45">
      <c r="A9" s="31" t="s">
        <v>52</v>
      </c>
      <c r="B9" s="31" t="s">
        <v>114</v>
      </c>
      <c r="C9" s="3" t="s">
        <v>42</v>
      </c>
      <c r="D9" s="3" t="s">
        <v>131</v>
      </c>
      <c r="E9" s="3"/>
      <c r="F9" s="3" t="s">
        <v>128</v>
      </c>
      <c r="G9" s="19" t="s">
        <v>117</v>
      </c>
      <c r="H9" s="20"/>
      <c r="I9" s="20"/>
      <c r="J9" s="20"/>
      <c r="K9" s="20"/>
      <c r="L9" s="21"/>
      <c r="M9" s="49" t="s">
        <v>116</v>
      </c>
      <c r="N9" s="50"/>
    </row>
    <row r="10" spans="1:14" x14ac:dyDescent="0.45">
      <c r="A10" s="32"/>
      <c r="B10" s="32"/>
      <c r="C10" s="3" t="s">
        <v>46</v>
      </c>
      <c r="D10" s="3" t="s">
        <v>132</v>
      </c>
      <c r="E10" s="3"/>
      <c r="F10" s="3" t="s">
        <v>129</v>
      </c>
      <c r="G10" s="16" t="s">
        <v>124</v>
      </c>
      <c r="H10" s="17"/>
      <c r="I10" s="17"/>
      <c r="J10" s="17"/>
      <c r="K10" s="17"/>
      <c r="L10" s="18"/>
      <c r="M10" s="49" t="s">
        <v>139</v>
      </c>
      <c r="N10" s="50"/>
    </row>
    <row r="11" spans="1:14" x14ac:dyDescent="0.45">
      <c r="A11" s="32"/>
      <c r="B11" s="32"/>
      <c r="C11" s="3" t="s">
        <v>42</v>
      </c>
      <c r="D11" s="3" t="s">
        <v>133</v>
      </c>
      <c r="E11" s="3"/>
      <c r="F11" s="3" t="s">
        <v>130</v>
      </c>
      <c r="G11" s="19" t="s">
        <v>125</v>
      </c>
      <c r="H11" s="20"/>
      <c r="I11" s="20"/>
      <c r="J11" s="20"/>
      <c r="K11" s="20"/>
      <c r="L11" s="21"/>
      <c r="M11" s="49" t="s">
        <v>140</v>
      </c>
      <c r="N11" s="50"/>
    </row>
    <row r="12" spans="1:14" x14ac:dyDescent="0.45">
      <c r="A12" s="32"/>
      <c r="B12" s="32"/>
      <c r="C12" s="3" t="s">
        <v>42</v>
      </c>
      <c r="D12" s="3" t="s">
        <v>142</v>
      </c>
      <c r="E12" s="3"/>
      <c r="F12" s="3"/>
      <c r="G12" s="19" t="s">
        <v>143</v>
      </c>
      <c r="H12" s="20"/>
      <c r="I12" s="20"/>
      <c r="J12" s="20"/>
      <c r="K12" s="20"/>
      <c r="L12" s="21"/>
      <c r="M12" s="49" t="s">
        <v>145</v>
      </c>
      <c r="N12" s="50"/>
    </row>
    <row r="13" spans="1:14" x14ac:dyDescent="0.45">
      <c r="A13" s="32"/>
      <c r="B13" s="33"/>
      <c r="C13" s="3" t="s">
        <v>42</v>
      </c>
      <c r="D13" s="3" t="s">
        <v>141</v>
      </c>
      <c r="E13" s="3"/>
      <c r="F13" s="3"/>
      <c r="G13" s="19" t="s">
        <v>144</v>
      </c>
      <c r="H13" s="20"/>
      <c r="I13" s="20"/>
      <c r="J13" s="20"/>
      <c r="K13" s="20"/>
      <c r="L13" s="21"/>
      <c r="M13" s="49" t="s">
        <v>146</v>
      </c>
      <c r="N13" s="50"/>
    </row>
    <row r="14" spans="1:14" x14ac:dyDescent="0.45">
      <c r="A14" s="32"/>
      <c r="B14" s="3" t="s">
        <v>44</v>
      </c>
      <c r="C14" s="3" t="s">
        <v>46</v>
      </c>
      <c r="D14" s="3" t="s">
        <v>103</v>
      </c>
      <c r="E14" s="3"/>
      <c r="F14" s="3"/>
      <c r="G14" s="42" t="s">
        <v>57</v>
      </c>
      <c r="H14" s="43"/>
      <c r="I14" s="43"/>
      <c r="J14" s="43"/>
      <c r="K14" s="43"/>
      <c r="L14" s="44"/>
      <c r="M14" s="49" t="s">
        <v>44</v>
      </c>
      <c r="N14" s="50"/>
    </row>
    <row r="15" spans="1:14" x14ac:dyDescent="0.45">
      <c r="A15" s="32"/>
      <c r="B15" s="3" t="s">
        <v>45</v>
      </c>
      <c r="C15" s="3" t="s">
        <v>46</v>
      </c>
      <c r="D15" s="3" t="s">
        <v>103</v>
      </c>
      <c r="E15" s="3"/>
      <c r="F15" s="3"/>
      <c r="G15" s="45"/>
      <c r="H15" s="46"/>
      <c r="I15" s="46"/>
      <c r="J15" s="46"/>
      <c r="K15" s="46"/>
      <c r="L15" s="47"/>
      <c r="M15" s="49" t="s">
        <v>45</v>
      </c>
      <c r="N15" s="50"/>
    </row>
    <row r="16" spans="1:14" x14ac:dyDescent="0.45">
      <c r="A16" s="32"/>
      <c r="B16" s="3" t="s">
        <v>54</v>
      </c>
      <c r="C16" s="3" t="s">
        <v>46</v>
      </c>
      <c r="D16" s="3" t="s">
        <v>103</v>
      </c>
      <c r="E16" s="3"/>
      <c r="F16" s="3"/>
      <c r="G16" s="42" t="s">
        <v>56</v>
      </c>
      <c r="H16" s="43"/>
      <c r="I16" s="43"/>
      <c r="J16" s="43"/>
      <c r="K16" s="43"/>
      <c r="L16" s="44"/>
      <c r="M16" s="49" t="s">
        <v>54</v>
      </c>
      <c r="N16" s="50"/>
    </row>
    <row r="17" spans="1:14" x14ac:dyDescent="0.45">
      <c r="A17" s="32"/>
      <c r="B17" s="3" t="s">
        <v>55</v>
      </c>
      <c r="C17" s="3" t="s">
        <v>46</v>
      </c>
      <c r="D17" s="3" t="s">
        <v>103</v>
      </c>
      <c r="E17" s="3"/>
      <c r="F17" s="3"/>
      <c r="G17" s="45"/>
      <c r="H17" s="46"/>
      <c r="I17" s="46"/>
      <c r="J17" s="46"/>
      <c r="K17" s="46"/>
      <c r="L17" s="47"/>
      <c r="M17" s="49" t="s">
        <v>55</v>
      </c>
      <c r="N17" s="50"/>
    </row>
    <row r="18" spans="1:14" x14ac:dyDescent="0.45">
      <c r="A18" s="33"/>
      <c r="B18" s="3" t="s">
        <v>53</v>
      </c>
      <c r="C18" s="3" t="s">
        <v>67</v>
      </c>
      <c r="D18" s="3" t="s">
        <v>58</v>
      </c>
      <c r="E18" s="3"/>
      <c r="F18" s="3" t="s">
        <v>58</v>
      </c>
      <c r="G18" s="19" t="s">
        <v>147</v>
      </c>
      <c r="H18" s="20"/>
      <c r="I18" s="20"/>
      <c r="J18" s="20"/>
      <c r="K18" s="20"/>
      <c r="L18" s="21"/>
      <c r="M18" s="49" t="s">
        <v>53</v>
      </c>
      <c r="N18" s="50"/>
    </row>
    <row r="19" spans="1:14" x14ac:dyDescent="0.45">
      <c r="A19" s="31" t="s">
        <v>59</v>
      </c>
      <c r="B19" s="31" t="s">
        <v>158</v>
      </c>
      <c r="C19" s="3" t="s">
        <v>42</v>
      </c>
      <c r="D19" s="3" t="s">
        <v>159</v>
      </c>
      <c r="E19" s="3"/>
      <c r="F19" s="3" t="s">
        <v>61</v>
      </c>
      <c r="G19" s="19" t="s">
        <v>49</v>
      </c>
      <c r="H19" s="20"/>
      <c r="I19" s="20"/>
      <c r="J19" s="20"/>
      <c r="K19" s="20"/>
      <c r="L19" s="21"/>
      <c r="M19" s="49" t="s">
        <v>98</v>
      </c>
      <c r="N19" s="50"/>
    </row>
    <row r="20" spans="1:14" x14ac:dyDescent="0.45">
      <c r="A20" s="32"/>
      <c r="B20" s="33"/>
      <c r="C20" s="3" t="s">
        <v>43</v>
      </c>
      <c r="D20" s="3" t="s">
        <v>160</v>
      </c>
      <c r="E20" s="3"/>
      <c r="F20" s="3" t="s">
        <v>60</v>
      </c>
      <c r="G20" s="19" t="s">
        <v>50</v>
      </c>
      <c r="H20" s="20"/>
      <c r="I20" s="20"/>
      <c r="J20" s="20"/>
      <c r="K20" s="20"/>
      <c r="L20" s="21"/>
      <c r="M20" s="49" t="s">
        <v>99</v>
      </c>
      <c r="N20" s="50"/>
    </row>
    <row r="21" spans="1:14" x14ac:dyDescent="0.45">
      <c r="A21" s="32"/>
      <c r="B21" s="3" t="s">
        <v>62</v>
      </c>
      <c r="C21" s="3" t="s">
        <v>46</v>
      </c>
      <c r="D21" s="3" t="s">
        <v>103</v>
      </c>
      <c r="E21" s="3"/>
      <c r="F21" s="3"/>
      <c r="G21" s="19" t="s">
        <v>63</v>
      </c>
      <c r="H21" s="20"/>
      <c r="I21" s="20"/>
      <c r="J21" s="20"/>
      <c r="K21" s="20"/>
      <c r="L21" s="21"/>
      <c r="M21" s="49" t="s">
        <v>62</v>
      </c>
      <c r="N21" s="50"/>
    </row>
    <row r="22" spans="1:14" x14ac:dyDescent="0.45">
      <c r="A22" s="32"/>
      <c r="B22" s="3" t="s">
        <v>65</v>
      </c>
      <c r="C22" s="3" t="s">
        <v>42</v>
      </c>
      <c r="D22" s="3" t="s">
        <v>64</v>
      </c>
      <c r="E22" s="3"/>
      <c r="F22" s="3"/>
      <c r="G22" s="19" t="s">
        <v>66</v>
      </c>
      <c r="H22" s="20"/>
      <c r="I22" s="20"/>
      <c r="J22" s="20"/>
      <c r="K22" s="20"/>
      <c r="L22" s="21"/>
      <c r="M22" s="49" t="s">
        <v>148</v>
      </c>
      <c r="N22" s="50"/>
    </row>
    <row r="23" spans="1:14" x14ac:dyDescent="0.45">
      <c r="A23" s="32"/>
      <c r="B23" s="3" t="s">
        <v>68</v>
      </c>
      <c r="C23" s="3" t="s">
        <v>67</v>
      </c>
      <c r="D23" s="3" t="s">
        <v>68</v>
      </c>
      <c r="E23" s="3"/>
      <c r="F23" s="3" t="s">
        <v>58</v>
      </c>
      <c r="G23" s="36" t="s">
        <v>70</v>
      </c>
      <c r="H23" s="37"/>
      <c r="I23" s="37"/>
      <c r="J23" s="37"/>
      <c r="K23" s="37"/>
      <c r="L23" s="38"/>
      <c r="M23" s="49" t="s">
        <v>149</v>
      </c>
      <c r="N23" s="50"/>
    </row>
    <row r="24" spans="1:14" x14ac:dyDescent="0.45">
      <c r="A24" s="33"/>
      <c r="B24" s="3" t="s">
        <v>69</v>
      </c>
      <c r="C24" s="3" t="s">
        <v>67</v>
      </c>
      <c r="D24" s="3" t="s">
        <v>69</v>
      </c>
      <c r="E24" s="3"/>
      <c r="F24" s="3" t="s">
        <v>58</v>
      </c>
      <c r="G24" s="39"/>
      <c r="H24" s="40"/>
      <c r="I24" s="40"/>
      <c r="J24" s="40"/>
      <c r="K24" s="40"/>
      <c r="L24" s="41"/>
      <c r="M24" s="49" t="s">
        <v>150</v>
      </c>
      <c r="N24" s="50"/>
    </row>
    <row r="25" spans="1:14" x14ac:dyDescent="0.45">
      <c r="A25" s="31" t="s">
        <v>71</v>
      </c>
      <c r="B25" s="31" t="s">
        <v>85</v>
      </c>
      <c r="C25" s="3" t="s">
        <v>42</v>
      </c>
      <c r="D25" s="3" t="s">
        <v>86</v>
      </c>
      <c r="E25" s="3"/>
      <c r="F25" s="3" t="s">
        <v>92</v>
      </c>
      <c r="G25" s="19" t="s">
        <v>82</v>
      </c>
      <c r="H25" s="20"/>
      <c r="I25" s="20"/>
      <c r="J25" s="20"/>
      <c r="K25" s="20"/>
      <c r="L25" s="21"/>
      <c r="M25" s="49" t="s">
        <v>140</v>
      </c>
      <c r="N25" s="50"/>
    </row>
    <row r="26" spans="1:14" x14ac:dyDescent="0.45">
      <c r="A26" s="32"/>
      <c r="B26" s="32"/>
      <c r="C26" s="3" t="s">
        <v>46</v>
      </c>
      <c r="D26" s="3" t="s">
        <v>88</v>
      </c>
      <c r="E26" s="3"/>
      <c r="F26" s="3" t="s">
        <v>91</v>
      </c>
      <c r="G26" s="19" t="s">
        <v>81</v>
      </c>
      <c r="H26" s="20"/>
      <c r="I26" s="20"/>
      <c r="J26" s="20"/>
      <c r="K26" s="20"/>
      <c r="L26" s="21"/>
      <c r="M26" s="49" t="s">
        <v>139</v>
      </c>
      <c r="N26" s="50"/>
    </row>
    <row r="27" spans="1:14" x14ac:dyDescent="0.45">
      <c r="A27" s="32"/>
      <c r="B27" s="32"/>
      <c r="C27" s="3" t="s">
        <v>42</v>
      </c>
      <c r="D27" s="3" t="s">
        <v>89</v>
      </c>
      <c r="E27" s="3"/>
      <c r="F27" s="3" t="s">
        <v>90</v>
      </c>
      <c r="G27" s="19" t="s">
        <v>84</v>
      </c>
      <c r="H27" s="20"/>
      <c r="I27" s="20"/>
      <c r="J27" s="20"/>
      <c r="K27" s="20"/>
      <c r="L27" s="21"/>
      <c r="M27" s="49" t="s">
        <v>116</v>
      </c>
      <c r="N27" s="50"/>
    </row>
    <row r="28" spans="1:14" x14ac:dyDescent="0.45">
      <c r="A28" s="32"/>
      <c r="B28" s="33"/>
      <c r="C28" s="3" t="s">
        <v>42</v>
      </c>
      <c r="D28" s="3" t="s">
        <v>87</v>
      </c>
      <c r="E28" s="3"/>
      <c r="F28" s="3" t="s">
        <v>155</v>
      </c>
      <c r="G28" s="19" t="s">
        <v>83</v>
      </c>
      <c r="H28" s="20"/>
      <c r="I28" s="20"/>
      <c r="J28" s="20"/>
      <c r="K28" s="20"/>
      <c r="L28" s="21"/>
      <c r="M28" s="49" t="s">
        <v>157</v>
      </c>
      <c r="N28" s="50"/>
    </row>
    <row r="29" spans="1:14" x14ac:dyDescent="0.45">
      <c r="A29" s="33"/>
      <c r="B29" s="3" t="s">
        <v>47</v>
      </c>
      <c r="C29" s="3" t="s">
        <v>46</v>
      </c>
      <c r="D29" s="3" t="s">
        <v>103</v>
      </c>
      <c r="E29" s="3"/>
      <c r="F29" s="3" t="s">
        <v>156</v>
      </c>
      <c r="G29" s="19" t="s">
        <v>51</v>
      </c>
      <c r="H29" s="20"/>
      <c r="I29" s="20"/>
      <c r="J29" s="20"/>
      <c r="K29" s="20"/>
      <c r="L29" s="21"/>
      <c r="M29" s="49" t="s">
        <v>47</v>
      </c>
      <c r="N29" s="50"/>
    </row>
    <row r="30" spans="1:14" x14ac:dyDescent="0.45">
      <c r="A30" s="31" t="s">
        <v>93</v>
      </c>
      <c r="B30" s="31" t="s">
        <v>161</v>
      </c>
      <c r="C30" s="3" t="s">
        <v>42</v>
      </c>
      <c r="D30" s="3" t="s">
        <v>162</v>
      </c>
      <c r="E30" s="3"/>
      <c r="F30" s="3" t="s">
        <v>164</v>
      </c>
      <c r="G30" s="19" t="s">
        <v>49</v>
      </c>
      <c r="H30" s="20"/>
      <c r="I30" s="20"/>
      <c r="J30" s="20"/>
      <c r="K30" s="20"/>
      <c r="L30" s="21"/>
      <c r="M30" s="49" t="s">
        <v>98</v>
      </c>
      <c r="N30" s="50"/>
    </row>
    <row r="31" spans="1:14" x14ac:dyDescent="0.45">
      <c r="A31" s="32"/>
      <c r="B31" s="33"/>
      <c r="C31" s="3" t="s">
        <v>43</v>
      </c>
      <c r="D31" s="3" t="s">
        <v>163</v>
      </c>
      <c r="E31" s="3"/>
      <c r="F31" s="3" t="s">
        <v>165</v>
      </c>
      <c r="G31" s="19" t="s">
        <v>50</v>
      </c>
      <c r="H31" s="20"/>
      <c r="I31" s="20"/>
      <c r="J31" s="20"/>
      <c r="K31" s="20"/>
      <c r="L31" s="21"/>
      <c r="M31" s="49" t="s">
        <v>99</v>
      </c>
      <c r="N31" s="50"/>
    </row>
    <row r="32" spans="1:14" x14ac:dyDescent="0.45">
      <c r="A32" s="32"/>
      <c r="B32" s="3" t="s">
        <v>108</v>
      </c>
      <c r="C32" s="3" t="s">
        <v>42</v>
      </c>
      <c r="D32" s="3" t="s">
        <v>64</v>
      </c>
      <c r="E32" s="3"/>
      <c r="F32" s="3"/>
      <c r="G32" s="19" t="s">
        <v>110</v>
      </c>
      <c r="H32" s="20"/>
      <c r="I32" s="20"/>
      <c r="J32" s="20"/>
      <c r="K32" s="20"/>
      <c r="L32" s="21"/>
      <c r="M32" s="49" t="s">
        <v>108</v>
      </c>
      <c r="N32" s="50"/>
    </row>
    <row r="33" spans="1:14" x14ac:dyDescent="0.45">
      <c r="A33" s="32"/>
      <c r="B33" s="3" t="s">
        <v>109</v>
      </c>
      <c r="C33" s="3" t="s">
        <v>46</v>
      </c>
      <c r="D33" s="3" t="s">
        <v>103</v>
      </c>
      <c r="E33" s="3"/>
      <c r="F33" s="3"/>
      <c r="G33" s="19" t="s">
        <v>113</v>
      </c>
      <c r="H33" s="20"/>
      <c r="I33" s="20"/>
      <c r="J33" s="20"/>
      <c r="K33" s="20"/>
      <c r="L33" s="21"/>
      <c r="M33" s="49" t="s">
        <v>109</v>
      </c>
      <c r="N33" s="50"/>
    </row>
    <row r="34" spans="1:14" x14ac:dyDescent="0.45">
      <c r="A34" s="33"/>
      <c r="B34" s="3" t="s">
        <v>111</v>
      </c>
      <c r="C34" s="3" t="s">
        <v>67</v>
      </c>
      <c r="D34" s="3" t="s">
        <v>58</v>
      </c>
      <c r="E34" s="3"/>
      <c r="F34" s="3" t="s">
        <v>58</v>
      </c>
      <c r="G34" s="19" t="s">
        <v>112</v>
      </c>
      <c r="H34" s="20"/>
      <c r="I34" s="20"/>
      <c r="J34" s="20"/>
      <c r="K34" s="20"/>
      <c r="L34" s="21"/>
      <c r="M34" s="49" t="s">
        <v>111</v>
      </c>
      <c r="N34" s="50"/>
    </row>
    <row r="35" spans="1:14" x14ac:dyDescent="0.45">
      <c r="A35" s="31" t="s">
        <v>19</v>
      </c>
      <c r="B35" s="31" t="s">
        <v>161</v>
      </c>
      <c r="C35" s="3" t="s">
        <v>42</v>
      </c>
      <c r="D35" s="3" t="s">
        <v>162</v>
      </c>
      <c r="E35" s="3"/>
      <c r="F35" s="3" t="s">
        <v>164</v>
      </c>
      <c r="G35" s="19" t="s">
        <v>49</v>
      </c>
      <c r="H35" s="20"/>
      <c r="I35" s="20"/>
      <c r="J35" s="20"/>
      <c r="K35" s="20"/>
      <c r="L35" s="21"/>
      <c r="M35" s="49"/>
      <c r="N35" s="50"/>
    </row>
    <row r="36" spans="1:14" ht="17" customHeight="1" x14ac:dyDescent="0.45">
      <c r="A36" s="32"/>
      <c r="B36" s="33"/>
      <c r="C36" s="3" t="s">
        <v>43</v>
      </c>
      <c r="D36" s="3" t="s">
        <v>163</v>
      </c>
      <c r="E36" s="3"/>
      <c r="F36" s="3" t="s">
        <v>165</v>
      </c>
      <c r="G36" s="16" t="s">
        <v>50</v>
      </c>
      <c r="H36" s="17"/>
      <c r="I36" s="17"/>
      <c r="J36" s="17"/>
      <c r="K36" s="17"/>
      <c r="L36" s="18"/>
      <c r="M36" s="49"/>
      <c r="N36" s="50"/>
    </row>
    <row r="37" spans="1:14" x14ac:dyDescent="0.45">
      <c r="A37" s="32"/>
      <c r="B37" s="3" t="s">
        <v>97</v>
      </c>
      <c r="C37" s="3" t="s">
        <v>42</v>
      </c>
      <c r="D37" s="3" t="s">
        <v>64</v>
      </c>
      <c r="E37" s="3"/>
      <c r="F37" s="3"/>
      <c r="G37" s="16" t="s">
        <v>106</v>
      </c>
      <c r="H37" s="17"/>
      <c r="I37" s="17"/>
      <c r="J37" s="17"/>
      <c r="K37" s="17"/>
      <c r="L37" s="18"/>
      <c r="M37" s="49"/>
      <c r="N37" s="50"/>
    </row>
    <row r="38" spans="1:14" ht="18" customHeight="1" x14ac:dyDescent="0.45">
      <c r="A38" s="32"/>
      <c r="B38" s="3" t="s">
        <v>48</v>
      </c>
      <c r="C38" s="3" t="s">
        <v>67</v>
      </c>
      <c r="D38" s="3" t="s">
        <v>100</v>
      </c>
      <c r="E38" s="3"/>
      <c r="F38" s="3" t="s">
        <v>58</v>
      </c>
      <c r="G38" s="22" t="s">
        <v>107</v>
      </c>
      <c r="H38" s="23"/>
      <c r="I38" s="23"/>
      <c r="J38" s="23"/>
      <c r="K38" s="23"/>
      <c r="L38" s="24"/>
      <c r="M38" s="49"/>
      <c r="N38" s="50"/>
    </row>
    <row r="39" spans="1:14" x14ac:dyDescent="0.45">
      <c r="A39" s="32"/>
      <c r="B39" s="3" t="s">
        <v>48</v>
      </c>
      <c r="C39" s="3" t="s">
        <v>67</v>
      </c>
      <c r="D39" s="3" t="s">
        <v>101</v>
      </c>
      <c r="E39" s="3"/>
      <c r="F39" s="3" t="s">
        <v>58</v>
      </c>
      <c r="G39" s="25"/>
      <c r="H39" s="26"/>
      <c r="I39" s="26"/>
      <c r="J39" s="26"/>
      <c r="K39" s="26"/>
      <c r="L39" s="27"/>
      <c r="M39" s="49"/>
      <c r="N39" s="50"/>
    </row>
    <row r="40" spans="1:14" x14ac:dyDescent="0.45">
      <c r="A40" s="33"/>
      <c r="B40" s="3" t="s">
        <v>48</v>
      </c>
      <c r="C40" s="3" t="s">
        <v>67</v>
      </c>
      <c r="D40" s="3" t="s">
        <v>102</v>
      </c>
      <c r="E40" s="3"/>
      <c r="F40" s="3" t="s">
        <v>58</v>
      </c>
      <c r="G40" s="28"/>
      <c r="H40" s="29"/>
      <c r="I40" s="29"/>
      <c r="J40" s="29"/>
      <c r="K40" s="29"/>
      <c r="L40" s="30"/>
      <c r="M40" s="49"/>
      <c r="N40" s="50"/>
    </row>
    <row r="41" spans="1:14" x14ac:dyDescent="0.45">
      <c r="A41" s="31" t="s">
        <v>94</v>
      </c>
      <c r="B41" s="31" t="s">
        <v>151</v>
      </c>
      <c r="C41" s="3" t="s">
        <v>46</v>
      </c>
      <c r="D41" s="3" t="s">
        <v>152</v>
      </c>
      <c r="E41" s="3"/>
      <c r="F41" s="3" t="s">
        <v>166</v>
      </c>
      <c r="G41" s="19"/>
      <c r="H41" s="20"/>
      <c r="I41" s="20"/>
      <c r="J41" s="20"/>
      <c r="K41" s="20"/>
      <c r="L41" s="21"/>
      <c r="M41" s="49"/>
      <c r="N41" s="50"/>
    </row>
    <row r="42" spans="1:14" x14ac:dyDescent="0.45">
      <c r="A42" s="32"/>
      <c r="B42" s="33"/>
      <c r="C42" s="3" t="s">
        <v>42</v>
      </c>
      <c r="D42" s="3" t="s">
        <v>153</v>
      </c>
      <c r="E42" s="3"/>
      <c r="F42" s="3" t="s">
        <v>167</v>
      </c>
      <c r="G42" s="49"/>
      <c r="H42" s="51"/>
      <c r="I42" s="51"/>
      <c r="J42" s="51"/>
      <c r="K42" s="51"/>
      <c r="L42" s="50"/>
      <c r="M42" s="49"/>
      <c r="N42" s="50"/>
    </row>
    <row r="43" spans="1:14" x14ac:dyDescent="0.45">
      <c r="A43" s="33"/>
      <c r="B43" s="3" t="s">
        <v>154</v>
      </c>
      <c r="C43" s="3" t="s">
        <v>46</v>
      </c>
      <c r="D43" s="3" t="s">
        <v>103</v>
      </c>
      <c r="E43" s="3"/>
      <c r="F43" s="3"/>
      <c r="G43" s="49"/>
      <c r="H43" s="51"/>
      <c r="I43" s="51"/>
      <c r="J43" s="51"/>
      <c r="K43" s="51"/>
      <c r="L43" s="50"/>
      <c r="M43" s="49"/>
      <c r="N43" s="50"/>
    </row>
    <row r="44" spans="1:14" x14ac:dyDescent="0.45">
      <c r="A44" s="31" t="s">
        <v>96</v>
      </c>
      <c r="B44" s="31" t="s">
        <v>95</v>
      </c>
      <c r="C44" s="3" t="s">
        <v>46</v>
      </c>
      <c r="D44" s="3" t="s">
        <v>104</v>
      </c>
      <c r="E44" s="3"/>
      <c r="F44" s="3"/>
      <c r="G44" s="49"/>
      <c r="H44" s="51"/>
      <c r="I44" s="51"/>
      <c r="J44" s="51"/>
      <c r="K44" s="51"/>
      <c r="L44" s="50"/>
      <c r="M44" s="49"/>
      <c r="N44" s="50"/>
    </row>
    <row r="45" spans="1:14" x14ac:dyDescent="0.45">
      <c r="A45" s="33"/>
      <c r="B45" s="33"/>
      <c r="C45" s="3" t="s">
        <v>42</v>
      </c>
      <c r="D45" s="3" t="s">
        <v>105</v>
      </c>
      <c r="E45" s="3"/>
      <c r="F45" s="3"/>
      <c r="G45" s="49"/>
      <c r="H45" s="51"/>
      <c r="I45" s="51"/>
      <c r="J45" s="51"/>
      <c r="K45" s="51"/>
      <c r="L45" s="50"/>
      <c r="M45" s="49"/>
      <c r="N45" s="50"/>
    </row>
    <row r="46" spans="1:14" x14ac:dyDescent="0.45">
      <c r="A46" s="3" t="s">
        <v>30</v>
      </c>
      <c r="B46" s="3" t="s">
        <v>95</v>
      </c>
      <c r="C46" s="3" t="s">
        <v>46</v>
      </c>
      <c r="D46" s="3" t="s">
        <v>104</v>
      </c>
      <c r="E46" s="3"/>
      <c r="F46" s="3"/>
      <c r="G46" s="49"/>
      <c r="H46" s="51"/>
      <c r="I46" s="51"/>
      <c r="J46" s="51"/>
      <c r="K46" s="51"/>
      <c r="L46" s="50"/>
      <c r="M46" s="49"/>
      <c r="N46" s="50"/>
    </row>
    <row r="47" spans="1:14" x14ac:dyDescent="0.45">
      <c r="A47" s="3"/>
      <c r="B47" s="3"/>
      <c r="C47" s="3"/>
      <c r="D47" s="3"/>
      <c r="E47" s="3"/>
      <c r="F47" s="3"/>
      <c r="G47" s="49"/>
      <c r="H47" s="51"/>
      <c r="I47" s="51"/>
      <c r="J47" s="51"/>
      <c r="K47" s="51"/>
      <c r="L47" s="50"/>
      <c r="M47" s="49"/>
      <c r="N47" s="50"/>
    </row>
    <row r="48" spans="1:14" x14ac:dyDescent="0.45">
      <c r="A48" s="3"/>
      <c r="B48" s="3"/>
      <c r="C48" s="3"/>
      <c r="D48" s="3"/>
      <c r="E48" s="3"/>
      <c r="F48" s="3"/>
      <c r="G48" s="49"/>
      <c r="H48" s="51"/>
      <c r="I48" s="51"/>
      <c r="J48" s="51"/>
      <c r="K48" s="51"/>
      <c r="L48" s="50"/>
      <c r="M48" s="49"/>
      <c r="N48" s="50"/>
    </row>
    <row r="49" spans="1:14" x14ac:dyDescent="0.45">
      <c r="A49" s="3"/>
      <c r="B49" s="3"/>
      <c r="C49" s="3"/>
      <c r="D49" s="3"/>
      <c r="E49" s="3"/>
      <c r="F49" s="3"/>
      <c r="G49" s="49"/>
      <c r="H49" s="51"/>
      <c r="I49" s="51"/>
      <c r="J49" s="51"/>
      <c r="K49" s="51"/>
      <c r="L49" s="50"/>
      <c r="M49" s="49"/>
      <c r="N49" s="50"/>
    </row>
  </sheetData>
  <mergeCells count="102">
    <mergeCell ref="M48:N48"/>
    <mergeCell ref="M49:N49"/>
    <mergeCell ref="G12:L12"/>
    <mergeCell ref="M12:N12"/>
    <mergeCell ref="B35:B36"/>
    <mergeCell ref="G41:L41"/>
    <mergeCell ref="G42:L42"/>
    <mergeCell ref="G43:L43"/>
    <mergeCell ref="G44:L44"/>
    <mergeCell ref="G45:L45"/>
    <mergeCell ref="G46:L46"/>
    <mergeCell ref="B44:B45"/>
    <mergeCell ref="M43:N43"/>
    <mergeCell ref="M44:N44"/>
    <mergeCell ref="M45:N45"/>
    <mergeCell ref="M46:N46"/>
    <mergeCell ref="M47:N47"/>
    <mergeCell ref="M38:N38"/>
    <mergeCell ref="M39:N39"/>
    <mergeCell ref="M40:N40"/>
    <mergeCell ref="M41:N41"/>
    <mergeCell ref="M42:N42"/>
    <mergeCell ref="M33:N33"/>
    <mergeCell ref="M34:N34"/>
    <mergeCell ref="M35:N35"/>
    <mergeCell ref="M36:N36"/>
    <mergeCell ref="M37:N37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5:N15"/>
    <mergeCell ref="M16:N16"/>
    <mergeCell ref="M17:N17"/>
    <mergeCell ref="M9:N9"/>
    <mergeCell ref="M10:N10"/>
    <mergeCell ref="M11:N11"/>
    <mergeCell ref="M13:N13"/>
    <mergeCell ref="M14:N14"/>
    <mergeCell ref="B25:B28"/>
    <mergeCell ref="G35:L35"/>
    <mergeCell ref="G34:L34"/>
    <mergeCell ref="G31:L31"/>
    <mergeCell ref="G32:L32"/>
    <mergeCell ref="G33:L33"/>
    <mergeCell ref="B9:B13"/>
    <mergeCell ref="G16:L17"/>
    <mergeCell ref="G14:L15"/>
    <mergeCell ref="A9:A18"/>
    <mergeCell ref="G18:L18"/>
    <mergeCell ref="G9:L9"/>
    <mergeCell ref="G13:L13"/>
    <mergeCell ref="G11:L11"/>
    <mergeCell ref="B19:B20"/>
    <mergeCell ref="A19:A24"/>
    <mergeCell ref="G23:L24"/>
    <mergeCell ref="G29:L29"/>
    <mergeCell ref="G30:L30"/>
    <mergeCell ref="G25:L25"/>
    <mergeCell ref="G26:L26"/>
    <mergeCell ref="G27:L27"/>
    <mergeCell ref="G28:L28"/>
    <mergeCell ref="G19:L19"/>
    <mergeCell ref="G20:L20"/>
    <mergeCell ref="G21:L21"/>
    <mergeCell ref="G22:L22"/>
    <mergeCell ref="A30:A34"/>
    <mergeCell ref="B30:B31"/>
    <mergeCell ref="A25:A29"/>
    <mergeCell ref="A1:N2"/>
    <mergeCell ref="G3:L3"/>
    <mergeCell ref="G4:L4"/>
    <mergeCell ref="G7:L7"/>
    <mergeCell ref="G8:L8"/>
    <mergeCell ref="B4:B7"/>
    <mergeCell ref="A4:A8"/>
    <mergeCell ref="G6:L6"/>
    <mergeCell ref="M3:N3"/>
    <mergeCell ref="M4:N4"/>
    <mergeCell ref="M5:N5"/>
    <mergeCell ref="M6:N6"/>
    <mergeCell ref="M7:N7"/>
    <mergeCell ref="M8:N8"/>
    <mergeCell ref="G48:L48"/>
    <mergeCell ref="G49:L49"/>
    <mergeCell ref="G38:L40"/>
    <mergeCell ref="A35:A40"/>
    <mergeCell ref="A41:A43"/>
    <mergeCell ref="B41:B42"/>
    <mergeCell ref="G47:L47"/>
    <mergeCell ref="A44:A4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34F5-4780-4C74-8E01-5290E7893904}">
  <dimension ref="A1:N34"/>
  <sheetViews>
    <sheetView workbookViewId="0">
      <selection activeCell="J21" sqref="J21"/>
    </sheetView>
  </sheetViews>
  <sheetFormatPr defaultRowHeight="17" x14ac:dyDescent="0.45"/>
  <cols>
    <col min="1" max="1" width="15.33203125" customWidth="1"/>
    <col min="2" max="2" width="21.9140625" customWidth="1"/>
    <col min="3" max="3" width="6" customWidth="1"/>
    <col min="4" max="4" width="11.6640625" bestFit="1" customWidth="1"/>
    <col min="5" max="5" width="13.33203125" bestFit="1" customWidth="1"/>
    <col min="6" max="6" width="16.83203125" customWidth="1"/>
    <col min="7" max="7" width="11.83203125" customWidth="1"/>
    <col min="8" max="8" width="34" customWidth="1"/>
    <col min="12" max="12" width="11.08203125" customWidth="1"/>
  </cols>
  <sheetData>
    <row r="1" spans="1:14" x14ac:dyDescent="0.45">
      <c r="A1" s="34" t="s">
        <v>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4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x14ac:dyDescent="0.4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21</v>
      </c>
      <c r="G3" s="2" t="s">
        <v>4</v>
      </c>
      <c r="H3" s="2" t="s">
        <v>3</v>
      </c>
    </row>
    <row r="4" spans="1:14" x14ac:dyDescent="0.45">
      <c r="A4" s="3" t="s">
        <v>6</v>
      </c>
      <c r="B4" s="3" t="s">
        <v>7</v>
      </c>
      <c r="C4" s="10" t="s">
        <v>8</v>
      </c>
      <c r="D4" s="5">
        <v>3.3</v>
      </c>
      <c r="E4" s="7">
        <v>380</v>
      </c>
      <c r="F4" s="9">
        <f>PRODUCT(D4:E4) / 1000</f>
        <v>1.254</v>
      </c>
      <c r="G4" s="12">
        <f>PRODUCT(C4,F4)</f>
        <v>1.254</v>
      </c>
      <c r="H4" s="3" t="s">
        <v>12</v>
      </c>
      <c r="J4" t="s">
        <v>75</v>
      </c>
    </row>
    <row r="5" spans="1:14" x14ac:dyDescent="0.45">
      <c r="A5" s="48" t="s">
        <v>5</v>
      </c>
      <c r="B5" s="3" t="s">
        <v>13</v>
      </c>
      <c r="C5" s="10" t="s">
        <v>8</v>
      </c>
      <c r="D5" s="5">
        <v>3.3</v>
      </c>
      <c r="E5" s="7">
        <v>0.88</v>
      </c>
      <c r="F5" s="9">
        <f t="shared" ref="F5:F34" si="0">PRODUCT(D5:E5) / 1000</f>
        <v>2.9039999999999999E-3</v>
      </c>
      <c r="G5" s="12">
        <f t="shared" ref="G5:G34" si="1">PRODUCT(C5,F5)</f>
        <v>2.9039999999999999E-3</v>
      </c>
      <c r="H5" s="3" t="s">
        <v>15</v>
      </c>
    </row>
    <row r="6" spans="1:14" x14ac:dyDescent="0.45">
      <c r="A6" s="48"/>
      <c r="B6" s="3" t="s">
        <v>14</v>
      </c>
      <c r="C6" s="10" t="s">
        <v>8</v>
      </c>
      <c r="D6" s="5">
        <v>3.3</v>
      </c>
      <c r="E6" s="7">
        <v>5.15</v>
      </c>
      <c r="F6" s="9">
        <f t="shared" si="0"/>
        <v>1.6995E-2</v>
      </c>
      <c r="G6" s="12">
        <f t="shared" si="1"/>
        <v>1.6995E-2</v>
      </c>
      <c r="H6" s="3" t="s">
        <v>15</v>
      </c>
      <c r="L6" s="13"/>
    </row>
    <row r="7" spans="1:14" x14ac:dyDescent="0.45">
      <c r="A7" s="3" t="s">
        <v>17</v>
      </c>
      <c r="B7" s="3" t="s">
        <v>72</v>
      </c>
      <c r="C7" s="10" t="s">
        <v>8</v>
      </c>
      <c r="D7" s="5">
        <v>3.3</v>
      </c>
      <c r="E7" s="7">
        <v>1.2</v>
      </c>
      <c r="F7" s="9">
        <f t="shared" si="0"/>
        <v>3.9599999999999991E-3</v>
      </c>
      <c r="G7" s="12">
        <f t="shared" si="1"/>
        <v>3.9599999999999991E-3</v>
      </c>
      <c r="H7" s="3" t="s">
        <v>76</v>
      </c>
    </row>
    <row r="8" spans="1:14" x14ac:dyDescent="0.45">
      <c r="A8" s="3" t="s">
        <v>16</v>
      </c>
      <c r="B8" s="3" t="s">
        <v>73</v>
      </c>
      <c r="C8" s="10" t="s">
        <v>8</v>
      </c>
      <c r="D8" s="5">
        <v>3.3</v>
      </c>
      <c r="E8" s="7">
        <v>0.8</v>
      </c>
      <c r="F8" s="9">
        <f t="shared" si="0"/>
        <v>2.64E-3</v>
      </c>
      <c r="G8" s="12">
        <f t="shared" si="1"/>
        <v>2.64E-3</v>
      </c>
      <c r="H8" s="3" t="s">
        <v>77</v>
      </c>
      <c r="K8" s="1" t="s">
        <v>24</v>
      </c>
      <c r="L8" s="1"/>
    </row>
    <row r="9" spans="1:14" x14ac:dyDescent="0.45">
      <c r="A9" s="3" t="s">
        <v>18</v>
      </c>
      <c r="B9" s="3" t="s">
        <v>19</v>
      </c>
      <c r="C9" s="10" t="s">
        <v>8</v>
      </c>
      <c r="D9" s="5">
        <v>3.3</v>
      </c>
      <c r="E9" s="7">
        <v>3</v>
      </c>
      <c r="F9" s="9">
        <f t="shared" si="0"/>
        <v>9.8999999999999991E-3</v>
      </c>
      <c r="G9" s="12">
        <f t="shared" si="1"/>
        <v>9.8999999999999991E-3</v>
      </c>
      <c r="H9" s="3" t="s">
        <v>20</v>
      </c>
      <c r="K9" t="s">
        <v>11</v>
      </c>
      <c r="L9" s="14">
        <f>SUMIF(D:D, 3.3, E:E)</f>
        <v>541.03</v>
      </c>
    </row>
    <row r="10" spans="1:14" x14ac:dyDescent="0.45">
      <c r="A10" s="3"/>
      <c r="B10" s="3"/>
      <c r="C10" s="10" t="s">
        <v>8</v>
      </c>
      <c r="D10" s="5"/>
      <c r="E10" s="7"/>
      <c r="F10" s="9">
        <f t="shared" si="0"/>
        <v>0</v>
      </c>
      <c r="G10" s="12">
        <f t="shared" si="1"/>
        <v>0</v>
      </c>
      <c r="H10" s="3" t="s">
        <v>25</v>
      </c>
      <c r="K10" t="s">
        <v>23</v>
      </c>
      <c r="L10" s="14">
        <f>SUMIF(D:D, 5, E:E)</f>
        <v>151.5</v>
      </c>
    </row>
    <row r="11" spans="1:14" x14ac:dyDescent="0.45">
      <c r="A11" s="3" t="s">
        <v>22</v>
      </c>
      <c r="B11" s="3" t="s">
        <v>26</v>
      </c>
      <c r="C11" s="10" t="s">
        <v>8</v>
      </c>
      <c r="D11" s="5">
        <v>5</v>
      </c>
      <c r="E11" s="7">
        <v>1.5</v>
      </c>
      <c r="F11" s="9">
        <f t="shared" si="0"/>
        <v>7.4999999999999997E-3</v>
      </c>
      <c r="G11" s="12">
        <f t="shared" si="1"/>
        <v>7.4999999999999997E-3</v>
      </c>
      <c r="H11" s="3" t="s">
        <v>27</v>
      </c>
    </row>
    <row r="12" spans="1:14" x14ac:dyDescent="0.45">
      <c r="A12" s="3" t="s">
        <v>28</v>
      </c>
      <c r="B12" s="3" t="s">
        <v>74</v>
      </c>
      <c r="C12" s="10" t="s">
        <v>8</v>
      </c>
      <c r="D12" s="5">
        <v>5</v>
      </c>
      <c r="E12" s="7">
        <v>150</v>
      </c>
      <c r="F12" s="9">
        <f t="shared" si="0"/>
        <v>0.75</v>
      </c>
      <c r="G12" s="12">
        <f t="shared" si="1"/>
        <v>0.75</v>
      </c>
      <c r="H12" s="3" t="s">
        <v>78</v>
      </c>
    </row>
    <row r="13" spans="1:14" x14ac:dyDescent="0.45">
      <c r="A13" s="31" t="s">
        <v>29</v>
      </c>
      <c r="B13" s="3" t="s">
        <v>30</v>
      </c>
      <c r="C13" s="10" t="s">
        <v>8</v>
      </c>
      <c r="D13" s="5">
        <v>3.3</v>
      </c>
      <c r="E13" s="7">
        <v>150</v>
      </c>
      <c r="F13" s="9">
        <f t="shared" si="0"/>
        <v>0.495</v>
      </c>
      <c r="G13" s="12">
        <f t="shared" si="1"/>
        <v>0.495</v>
      </c>
      <c r="H13" s="3" t="s">
        <v>79</v>
      </c>
    </row>
    <row r="14" spans="1:14" x14ac:dyDescent="0.45">
      <c r="A14" s="32"/>
      <c r="B14" s="3"/>
      <c r="C14" s="10"/>
      <c r="D14" s="5"/>
      <c r="E14" s="7"/>
      <c r="F14" s="9">
        <f t="shared" si="0"/>
        <v>0</v>
      </c>
      <c r="G14" s="12">
        <f t="shared" si="1"/>
        <v>0</v>
      </c>
      <c r="H14" s="3" t="s">
        <v>80</v>
      </c>
    </row>
    <row r="15" spans="1:14" x14ac:dyDescent="0.45">
      <c r="A15" s="33"/>
      <c r="B15" s="3" t="s">
        <v>31</v>
      </c>
      <c r="C15" s="10" t="s">
        <v>8</v>
      </c>
      <c r="D15" s="5"/>
      <c r="E15" s="7"/>
      <c r="F15" s="9">
        <f t="shared" si="0"/>
        <v>0</v>
      </c>
      <c r="G15" s="12">
        <f t="shared" si="1"/>
        <v>0</v>
      </c>
      <c r="H15" s="3" t="s">
        <v>32</v>
      </c>
    </row>
    <row r="16" spans="1:14" x14ac:dyDescent="0.45">
      <c r="A16" s="3"/>
      <c r="B16" s="3"/>
      <c r="C16" s="10"/>
      <c r="D16" s="5"/>
      <c r="E16" s="7"/>
      <c r="F16" s="9">
        <f t="shared" si="0"/>
        <v>0</v>
      </c>
      <c r="G16" s="12">
        <f t="shared" si="1"/>
        <v>0</v>
      </c>
      <c r="H16" s="3"/>
    </row>
    <row r="17" spans="1:8" x14ac:dyDescent="0.45">
      <c r="A17" s="3"/>
      <c r="B17" s="3"/>
      <c r="C17" s="10"/>
      <c r="D17" s="5"/>
      <c r="E17" s="7"/>
      <c r="F17" s="9">
        <f t="shared" si="0"/>
        <v>0</v>
      </c>
      <c r="G17" s="12">
        <f t="shared" si="1"/>
        <v>0</v>
      </c>
      <c r="H17" s="3"/>
    </row>
    <row r="18" spans="1:8" x14ac:dyDescent="0.45">
      <c r="A18" s="3"/>
      <c r="B18" s="3"/>
      <c r="C18" s="10"/>
      <c r="D18" s="5"/>
      <c r="E18" s="7"/>
      <c r="F18" s="9">
        <f t="shared" si="0"/>
        <v>0</v>
      </c>
      <c r="G18" s="12">
        <f t="shared" si="1"/>
        <v>0</v>
      </c>
      <c r="H18" s="3"/>
    </row>
    <row r="19" spans="1:8" x14ac:dyDescent="0.45">
      <c r="A19" s="3"/>
      <c r="B19" s="3"/>
      <c r="C19" s="10"/>
      <c r="D19" s="5"/>
      <c r="E19" s="7"/>
      <c r="F19" s="9">
        <f t="shared" si="0"/>
        <v>0</v>
      </c>
      <c r="G19" s="12">
        <f t="shared" si="1"/>
        <v>0</v>
      </c>
      <c r="H19" s="3"/>
    </row>
    <row r="20" spans="1:8" x14ac:dyDescent="0.45">
      <c r="A20" s="3"/>
      <c r="B20" s="3"/>
      <c r="C20" s="10"/>
      <c r="D20" s="5"/>
      <c r="E20" s="7"/>
      <c r="F20" s="9">
        <f t="shared" si="0"/>
        <v>0</v>
      </c>
      <c r="G20" s="12">
        <f t="shared" si="1"/>
        <v>0</v>
      </c>
      <c r="H20" s="3"/>
    </row>
    <row r="21" spans="1:8" x14ac:dyDescent="0.45">
      <c r="A21" s="3"/>
      <c r="B21" s="3"/>
      <c r="C21" s="10"/>
      <c r="D21" s="5"/>
      <c r="E21" s="7"/>
      <c r="F21" s="9">
        <f t="shared" si="0"/>
        <v>0</v>
      </c>
      <c r="G21" s="12">
        <f t="shared" si="1"/>
        <v>0</v>
      </c>
      <c r="H21" s="3"/>
    </row>
    <row r="22" spans="1:8" x14ac:dyDescent="0.45">
      <c r="A22" s="3"/>
      <c r="B22" s="3"/>
      <c r="C22" s="10"/>
      <c r="D22" s="5"/>
      <c r="E22" s="7"/>
      <c r="F22" s="9">
        <f t="shared" si="0"/>
        <v>0</v>
      </c>
      <c r="G22" s="12">
        <f t="shared" si="1"/>
        <v>0</v>
      </c>
      <c r="H22" s="3"/>
    </row>
    <row r="23" spans="1:8" x14ac:dyDescent="0.45">
      <c r="A23" s="3"/>
      <c r="B23" s="3"/>
      <c r="C23" s="10"/>
      <c r="D23" s="5"/>
      <c r="E23" s="7"/>
      <c r="F23" s="9">
        <f t="shared" si="0"/>
        <v>0</v>
      </c>
      <c r="G23" s="12">
        <f t="shared" si="1"/>
        <v>0</v>
      </c>
      <c r="H23" s="3"/>
    </row>
    <row r="24" spans="1:8" x14ac:dyDescent="0.45">
      <c r="A24" s="3"/>
      <c r="B24" s="3"/>
      <c r="C24" s="10"/>
      <c r="D24" s="5"/>
      <c r="E24" s="7"/>
      <c r="F24" s="9">
        <f t="shared" si="0"/>
        <v>0</v>
      </c>
      <c r="G24" s="12">
        <f t="shared" si="1"/>
        <v>0</v>
      </c>
      <c r="H24" s="3"/>
    </row>
    <row r="25" spans="1:8" x14ac:dyDescent="0.45">
      <c r="A25" s="3"/>
      <c r="B25" s="3"/>
      <c r="C25" s="10"/>
      <c r="D25" s="5"/>
      <c r="E25" s="7"/>
      <c r="F25" s="9">
        <f t="shared" si="0"/>
        <v>0</v>
      </c>
      <c r="G25" s="12">
        <f t="shared" si="1"/>
        <v>0</v>
      </c>
      <c r="H25" s="3"/>
    </row>
    <row r="26" spans="1:8" x14ac:dyDescent="0.45">
      <c r="A26" s="3"/>
      <c r="B26" s="3"/>
      <c r="C26" s="10"/>
      <c r="D26" s="5"/>
      <c r="E26" s="7"/>
      <c r="F26" s="9">
        <f t="shared" si="0"/>
        <v>0</v>
      </c>
      <c r="G26" s="12">
        <f t="shared" si="1"/>
        <v>0</v>
      </c>
      <c r="H26" s="3"/>
    </row>
    <row r="27" spans="1:8" x14ac:dyDescent="0.45">
      <c r="A27" s="3"/>
      <c r="B27" s="3"/>
      <c r="C27" s="10"/>
      <c r="D27" s="5"/>
      <c r="E27" s="7"/>
      <c r="F27" s="9">
        <f t="shared" si="0"/>
        <v>0</v>
      </c>
      <c r="G27" s="12">
        <f t="shared" si="1"/>
        <v>0</v>
      </c>
      <c r="H27" s="3"/>
    </row>
    <row r="28" spans="1:8" x14ac:dyDescent="0.45">
      <c r="A28" s="3"/>
      <c r="B28" s="3"/>
      <c r="C28" s="10"/>
      <c r="D28" s="5"/>
      <c r="E28" s="7"/>
      <c r="F28" s="9">
        <f t="shared" si="0"/>
        <v>0</v>
      </c>
      <c r="G28" s="12">
        <f t="shared" si="1"/>
        <v>0</v>
      </c>
      <c r="H28" s="3"/>
    </row>
    <row r="29" spans="1:8" x14ac:dyDescent="0.45">
      <c r="A29" s="3"/>
      <c r="B29" s="3"/>
      <c r="C29" s="10"/>
      <c r="D29" s="5"/>
      <c r="E29" s="7"/>
      <c r="F29" s="9">
        <f t="shared" si="0"/>
        <v>0</v>
      </c>
      <c r="G29" s="12">
        <f t="shared" si="1"/>
        <v>0</v>
      </c>
      <c r="H29" s="3"/>
    </row>
    <row r="30" spans="1:8" x14ac:dyDescent="0.45">
      <c r="A30" s="3"/>
      <c r="B30" s="3"/>
      <c r="C30" s="10"/>
      <c r="D30" s="5"/>
      <c r="E30" s="7"/>
      <c r="F30" s="9">
        <f t="shared" si="0"/>
        <v>0</v>
      </c>
      <c r="G30" s="12">
        <f t="shared" si="1"/>
        <v>0</v>
      </c>
      <c r="H30" s="3"/>
    </row>
    <row r="31" spans="1:8" x14ac:dyDescent="0.45">
      <c r="A31" s="4"/>
      <c r="B31" s="4"/>
      <c r="C31" s="11"/>
      <c r="D31" s="6"/>
      <c r="E31" s="8"/>
      <c r="F31" s="9">
        <f t="shared" si="0"/>
        <v>0</v>
      </c>
      <c r="G31" s="12">
        <f t="shared" si="1"/>
        <v>0</v>
      </c>
      <c r="H31" s="4"/>
    </row>
    <row r="32" spans="1:8" x14ac:dyDescent="0.45">
      <c r="A32" s="4"/>
      <c r="B32" s="4"/>
      <c r="C32" s="11"/>
      <c r="D32" s="6"/>
      <c r="E32" s="8"/>
      <c r="F32" s="9">
        <f t="shared" si="0"/>
        <v>0</v>
      </c>
      <c r="G32" s="12">
        <f t="shared" si="1"/>
        <v>0</v>
      </c>
      <c r="H32" s="4"/>
    </row>
    <row r="33" spans="1:8" x14ac:dyDescent="0.45">
      <c r="A33" s="4"/>
      <c r="B33" s="4"/>
      <c r="C33" s="11"/>
      <c r="D33" s="6"/>
      <c r="E33" s="8"/>
      <c r="F33" s="9">
        <f t="shared" si="0"/>
        <v>0</v>
      </c>
      <c r="G33" s="12">
        <f t="shared" si="1"/>
        <v>0</v>
      </c>
      <c r="H33" s="4"/>
    </row>
    <row r="34" spans="1:8" x14ac:dyDescent="0.45">
      <c r="A34" s="4"/>
      <c r="B34" s="4"/>
      <c r="C34" s="11"/>
      <c r="D34" s="6"/>
      <c r="E34" s="8"/>
      <c r="F34" s="9">
        <f t="shared" si="0"/>
        <v>0</v>
      </c>
      <c r="G34" s="12">
        <f t="shared" si="1"/>
        <v>0</v>
      </c>
      <c r="H34" s="4"/>
    </row>
  </sheetData>
  <mergeCells count="3">
    <mergeCell ref="A1:N2"/>
    <mergeCell ref="A5:A6"/>
    <mergeCell ref="A13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Pin map</vt:lpstr>
      <vt:lpstr>전력 소모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 Oh</dc:creator>
  <cp:lastModifiedBy>hyunsoo Oh</cp:lastModifiedBy>
  <dcterms:created xsi:type="dcterms:W3CDTF">2026-04-23T10:53:59Z</dcterms:created>
  <dcterms:modified xsi:type="dcterms:W3CDTF">2026-04-30T15:24:03Z</dcterms:modified>
</cp:coreProperties>
</file>